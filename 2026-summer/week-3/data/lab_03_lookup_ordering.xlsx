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lookup_sorted" sheetId="2" state="visible" r:id="rId2"/>
    <sheet xmlns:r="http://schemas.openxmlformats.org/officeDocument/2006/relationships" name="vlookup_unsorted" sheetId="3" state="visible" r:id="rId3"/>
    <sheet xmlns:r="http://schemas.openxmlformats.org/officeDocument/2006/relationships" name="xlookup_eith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890000"/>
      <sz val="14"/>
    </font>
    <font>
      <name val="Calibri"/>
      <b val="1"/>
      <color rgb="00333333"/>
      <sz val="11"/>
    </font>
    <font>
      <name val="Consolas"/>
      <color rgb="00333333"/>
      <sz val="10"/>
    </font>
    <font>
      <name val="Calibri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 ht="22" customHeight="1">
      <c r="A1" s="1" t="inlineStr">
        <is>
          <t>Lab 3 — How VLOOKUP / XLOOKUP behave with order</t>
        </is>
      </c>
    </row>
    <row r="3">
      <c r="A3" s="2" t="inlineStr">
        <is>
          <t>Function</t>
        </is>
      </c>
      <c r="B3" s="2" t="inlineStr">
        <is>
          <t>Behavior</t>
        </is>
      </c>
    </row>
    <row r="4" ht="65" customHeight="1">
      <c r="A4" s="3" t="inlineStr">
        <is>
          <t>VLOOKUP</t>
        </is>
      </c>
      <c r="B4" s="4" t="inlineStr">
        <is>
          <t>Old function (Excel 2007+). Default match mode is APPROXIMATE — and APPROXIMATE assumes the lookup range is SORTED ASCENDING. If the range is not sorted, approximate-match returns wrong answers without complaining. To get exact match, pass FALSE (or 0) as the last argument.</t>
        </is>
      </c>
    </row>
    <row r="5" ht="65" customHeight="1">
      <c r="A5" s="3" t="inlineStr">
        <is>
          <t>XLOOKUP</t>
        </is>
      </c>
      <c r="B5" s="4" t="inlineStr">
        <is>
          <t>Newer function (Excel 365). Default is EXACT match. The order of the lookup range does not matter for exact match. There is also a binary-search mode where order would matter — but the default is safe.</t>
        </is>
      </c>
    </row>
    <row r="6" ht="65" customHeight="1">
      <c r="A6" s="3" t="inlineStr">
        <is>
          <t>Best practice</t>
        </is>
      </c>
      <c r="B6" s="4" t="inlineStr">
        <is>
          <t>Use XLOOKUP when available. When using VLOOKUP, ALWAYS pass FALSE for exact match unless you are intentionally doing a banded lookup (e.g., tax brackets). Open the 'vlookup_sorted' and 'vlookup_unsorted' sheets to see the failure mode.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7" customWidth="1" min="1" max="1"/>
    <col width="26" customWidth="1" min="2" max="2"/>
    <col width="29" customWidth="1" min="3" max="3"/>
    <col width="10" customWidth="1" min="4" max="4"/>
    <col width="10" customWidth="1" min="5" max="5"/>
  </cols>
  <sheetData>
    <row r="1" ht="22" customHeight="1">
      <c r="A1" s="1" t="inlineStr">
        <is>
          <t>Lookup range: SORTED ascending by customer_id</t>
        </is>
      </c>
    </row>
    <row r="2"/>
    <row r="3">
      <c r="A3" s="5" t="inlineStr">
        <is>
          <t>Lookup range</t>
        </is>
      </c>
    </row>
    <row r="4">
      <c r="A4" s="6" t="inlineStr">
        <is>
          <t>customer_id</t>
        </is>
      </c>
      <c r="B4" s="6" t="inlineStr">
        <is>
          <t>customer_name</t>
        </is>
      </c>
      <c r="C4" s="6" t="inlineStr">
        <is>
          <t>segment</t>
        </is>
      </c>
    </row>
    <row r="5">
      <c r="A5" s="7" t="inlineStr">
        <is>
          <t>C-101</t>
        </is>
      </c>
      <c r="B5" s="8" t="inlineStr">
        <is>
          <t>Park City Mountain Lodge</t>
        </is>
      </c>
      <c r="C5" s="8" t="inlineStr">
        <is>
          <t>Resort</t>
        </is>
      </c>
    </row>
    <row r="6">
      <c r="A6" s="7" t="inlineStr">
        <is>
          <t>C-102</t>
        </is>
      </c>
      <c r="B6" s="8" t="inlineStr">
        <is>
          <t>Wasatch Mountain Goods</t>
        </is>
      </c>
      <c r="C6" s="8" t="inlineStr">
        <is>
          <t>Outdoor Retail</t>
        </is>
      </c>
    </row>
    <row r="7">
      <c r="A7" s="7" t="inlineStr">
        <is>
          <t>C-103</t>
        </is>
      </c>
      <c r="B7" s="8" t="inlineStr">
        <is>
          <t>Granite School District</t>
        </is>
      </c>
      <c r="C7" s="8" t="inlineStr">
        <is>
          <t>School District</t>
        </is>
      </c>
    </row>
    <row r="8">
      <c r="A8" s="7" t="inlineStr">
        <is>
          <t>C-104</t>
        </is>
      </c>
      <c r="B8" s="8" t="inlineStr">
        <is>
          <t>Snowbird Resort Ops</t>
        </is>
      </c>
      <c r="C8" s="8" t="inlineStr">
        <is>
          <t>Resort</t>
        </is>
      </c>
    </row>
    <row r="9">
      <c r="A9" s="7" t="inlineStr">
        <is>
          <t>C-105</t>
        </is>
      </c>
      <c r="B9" s="8" t="inlineStr">
        <is>
          <t>Logan River Outfitters</t>
        </is>
      </c>
      <c r="C9" s="8" t="inlineStr">
        <is>
          <t>Outfitter</t>
        </is>
      </c>
    </row>
    <row r="10">
      <c r="A10" s="5" t="inlineStr">
        <is>
          <t>VLOOKUP results (sorted range)</t>
        </is>
      </c>
    </row>
    <row r="11">
      <c r="A11" s="6" t="inlineStr">
        <is>
          <t>lookup key</t>
        </is>
      </c>
      <c r="B11" s="6" t="inlineStr">
        <is>
          <t>VLOOKUP, FALSE (exact)</t>
        </is>
      </c>
      <c r="C11" s="6" t="inlineStr">
        <is>
          <t>VLOOKUP, TRUE (approximate)</t>
        </is>
      </c>
    </row>
    <row r="12">
      <c r="A12" s="7" t="inlineStr">
        <is>
          <t>C-103</t>
        </is>
      </c>
      <c r="B12" s="8">
        <f>VLOOKUP("C-103",A4:C8,2,FALSE)</f>
        <v/>
      </c>
      <c r="C12" s="8">
        <f>VLOOKUP("C-103",A4:C8,2,TRUE)</f>
        <v/>
      </c>
    </row>
    <row r="13">
      <c r="A13" s="7" t="inlineStr">
        <is>
          <t>C-101</t>
        </is>
      </c>
      <c r="B13" s="8">
        <f>VLOOKUP("C-101",A4:C8,2,FALSE)</f>
        <v/>
      </c>
      <c r="C13" s="8">
        <f>VLOOKUP("C-101",A4:C8,2,TRUE)</f>
        <v/>
      </c>
    </row>
    <row r="14">
      <c r="A14" s="7" t="inlineStr">
        <is>
          <t>C-105</t>
        </is>
      </c>
      <c r="B14" s="8">
        <f>VLOOKUP("C-105",A4:C8,2,FALSE)</f>
        <v/>
      </c>
      <c r="C14" s="8">
        <f>VLOOKUP("C-105",A4:C8,2,TRUE)</f>
        <v/>
      </c>
    </row>
    <row r="15">
      <c r="A15" s="7" t="inlineStr">
        <is>
          <t>C-999</t>
        </is>
      </c>
      <c r="B15" s="8">
        <f>VLOOKUP("C-999",A4:C8,2,FALSE)</f>
        <v/>
      </c>
      <c r="C15" s="8">
        <f>VLOOKUP("C-999",A4:C8,2,TRUE)</f>
        <v/>
      </c>
    </row>
  </sheetData>
  <mergeCells count="3">
    <mergeCell ref="A1:E1"/>
    <mergeCell ref="A3:C3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9" customWidth="1" min="3" max="3"/>
    <col width="10" customWidth="1" min="4" max="4"/>
    <col width="10" customWidth="1" min="5" max="5"/>
  </cols>
  <sheetData>
    <row r="1" ht="22" customHeight="1">
      <c r="A1" s="1" t="inlineStr">
        <is>
          <t>Lookup range: NOT sorted (same data, shuffled)</t>
        </is>
      </c>
    </row>
    <row r="2"/>
    <row r="3">
      <c r="A3" s="5" t="inlineStr">
        <is>
          <t>Lookup range</t>
        </is>
      </c>
    </row>
    <row r="4">
      <c r="A4" s="6" t="inlineStr">
        <is>
          <t>customer_id</t>
        </is>
      </c>
      <c r="B4" s="6" t="inlineStr">
        <is>
          <t>customer_name</t>
        </is>
      </c>
      <c r="C4" s="6" t="inlineStr">
        <is>
          <t>segment</t>
        </is>
      </c>
    </row>
    <row r="5">
      <c r="A5" s="7" t="inlineStr">
        <is>
          <t>C-104</t>
        </is>
      </c>
      <c r="B5" s="8" t="inlineStr">
        <is>
          <t>Snowbird Resort Ops</t>
        </is>
      </c>
      <c r="C5" s="8" t="inlineStr">
        <is>
          <t>Resort</t>
        </is>
      </c>
    </row>
    <row r="6">
      <c r="A6" s="7" t="inlineStr">
        <is>
          <t>C-101</t>
        </is>
      </c>
      <c r="B6" s="8" t="inlineStr">
        <is>
          <t>Park City Mountain Lodge</t>
        </is>
      </c>
      <c r="C6" s="8" t="inlineStr">
        <is>
          <t>Resort</t>
        </is>
      </c>
    </row>
    <row r="7">
      <c r="A7" s="7" t="inlineStr">
        <is>
          <t>C-103</t>
        </is>
      </c>
      <c r="B7" s="8" t="inlineStr">
        <is>
          <t>Granite School District</t>
        </is>
      </c>
      <c r="C7" s="8" t="inlineStr">
        <is>
          <t>School District</t>
        </is>
      </c>
    </row>
    <row r="8">
      <c r="A8" s="7" t="inlineStr">
        <is>
          <t>C-105</t>
        </is>
      </c>
      <c r="B8" s="8" t="inlineStr">
        <is>
          <t>Logan River Outfitters</t>
        </is>
      </c>
      <c r="C8" s="8" t="inlineStr">
        <is>
          <t>Outfitter</t>
        </is>
      </c>
    </row>
    <row r="9">
      <c r="A9" s="7" t="inlineStr">
        <is>
          <t>C-102</t>
        </is>
      </c>
      <c r="B9" s="8" t="inlineStr">
        <is>
          <t>Wasatch Mountain Goods</t>
        </is>
      </c>
      <c r="C9" s="8" t="inlineStr">
        <is>
          <t>Outdoor Retail</t>
        </is>
      </c>
    </row>
    <row r="10">
      <c r="A10" s="5" t="inlineStr">
        <is>
          <t>VLOOKUP results (unsorted range — TRUE returns WRONG answers)</t>
        </is>
      </c>
    </row>
    <row r="11">
      <c r="A11" s="6" t="inlineStr">
        <is>
          <t>lookup key</t>
        </is>
      </c>
      <c r="B11" s="6" t="inlineStr">
        <is>
          <t>VLOOKUP, FALSE (exact)</t>
        </is>
      </c>
      <c r="C11" s="6" t="inlineStr">
        <is>
          <t>VLOOKUP, TRUE (approximate)</t>
        </is>
      </c>
    </row>
    <row r="12">
      <c r="A12" s="7" t="inlineStr">
        <is>
          <t>C-103</t>
        </is>
      </c>
      <c r="B12" s="8">
        <f>VLOOKUP("C-103",A4:C8,2,FALSE)</f>
        <v/>
      </c>
      <c r="C12" s="8">
        <f>VLOOKUP("C-103",A4:C8,2,TRUE)</f>
        <v/>
      </c>
    </row>
    <row r="13">
      <c r="A13" s="7" t="inlineStr">
        <is>
          <t>C-101</t>
        </is>
      </c>
      <c r="B13" s="8">
        <f>VLOOKUP("C-101",A4:C8,2,FALSE)</f>
        <v/>
      </c>
      <c r="C13" s="8">
        <f>VLOOKUP("C-101",A4:C8,2,TRUE)</f>
        <v/>
      </c>
    </row>
    <row r="14">
      <c r="A14" s="7" t="inlineStr">
        <is>
          <t>C-105</t>
        </is>
      </c>
      <c r="B14" s="8">
        <f>VLOOKUP("C-105",A4:C8,2,FALSE)</f>
        <v/>
      </c>
      <c r="C14" s="8">
        <f>VLOOKUP("C-105",A4:C8,2,TRUE)</f>
        <v/>
      </c>
    </row>
    <row r="15">
      <c r="A15" s="7" t="inlineStr">
        <is>
          <t>C-999</t>
        </is>
      </c>
      <c r="B15" s="8">
        <f>VLOOKUP("C-999",A4:C8,2,FALSE)</f>
        <v/>
      </c>
      <c r="C15" s="8">
        <f>VLOOKUP("C-999",A4:C8,2,TRUE)</f>
        <v/>
      </c>
    </row>
  </sheetData>
  <mergeCells count="3">
    <mergeCell ref="A1:E1"/>
    <mergeCell ref="A3:C3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8" customWidth="1" min="3" max="3"/>
    <col width="10" customWidth="1" min="4" max="4"/>
    <col width="10" customWidth="1" min="5" max="5"/>
  </cols>
  <sheetData>
    <row r="1" ht="22" customHeight="1">
      <c r="A1" s="1" t="inlineStr">
        <is>
          <t>XLOOKUP — same answers, regardless of order</t>
        </is>
      </c>
    </row>
    <row r="2"/>
    <row r="3" ht="35" customHeight="1">
      <c r="A3" s="9" t="inlineStr">
        <is>
          <t>XLOOKUP defaults to exact match, so the order of the lookup range does NOT change the result. The shuffled lookup range from vlookup_unsorted is reused below.</t>
        </is>
      </c>
    </row>
    <row r="4"/>
    <row r="5">
      <c r="A5" s="5" t="inlineStr">
        <is>
          <t>Lookup range (unsorted, same as previous sheet)</t>
        </is>
      </c>
    </row>
    <row r="6">
      <c r="A6" s="6" t="inlineStr">
        <is>
          <t>customer_id</t>
        </is>
      </c>
      <c r="B6" s="6" t="inlineStr">
        <is>
          <t>customer_name</t>
        </is>
      </c>
      <c r="C6" s="6" t="inlineStr">
        <is>
          <t>segment</t>
        </is>
      </c>
    </row>
    <row r="7">
      <c r="A7" s="7" t="inlineStr">
        <is>
          <t>C-104</t>
        </is>
      </c>
      <c r="B7" s="8" t="inlineStr">
        <is>
          <t>Snowbird Resort Ops</t>
        </is>
      </c>
      <c r="C7" s="8" t="inlineStr">
        <is>
          <t>Resort</t>
        </is>
      </c>
    </row>
    <row r="8">
      <c r="A8" s="7" t="inlineStr">
        <is>
          <t>C-101</t>
        </is>
      </c>
      <c r="B8" s="8" t="inlineStr">
        <is>
          <t>Park City Mountain Lodge</t>
        </is>
      </c>
      <c r="C8" s="8" t="inlineStr">
        <is>
          <t>Resort</t>
        </is>
      </c>
    </row>
    <row r="9">
      <c r="A9" s="7" t="inlineStr">
        <is>
          <t>C-103</t>
        </is>
      </c>
      <c r="B9" s="8" t="inlineStr">
        <is>
          <t>Granite School District</t>
        </is>
      </c>
      <c r="C9" s="8" t="inlineStr">
        <is>
          <t>School District</t>
        </is>
      </c>
    </row>
    <row r="10">
      <c r="A10" s="7" t="inlineStr">
        <is>
          <t>C-105</t>
        </is>
      </c>
      <c r="B10" s="8" t="inlineStr">
        <is>
          <t>Logan River Outfitters</t>
        </is>
      </c>
      <c r="C10" s="8" t="inlineStr">
        <is>
          <t>Outfitter</t>
        </is>
      </c>
    </row>
    <row r="11">
      <c r="A11" s="7" t="inlineStr">
        <is>
          <t>C-102</t>
        </is>
      </c>
      <c r="B11" s="8" t="inlineStr">
        <is>
          <t>Wasatch Mountain Goods</t>
        </is>
      </c>
      <c r="C11" s="8" t="inlineStr">
        <is>
          <t>Outdoor Retail</t>
        </is>
      </c>
    </row>
    <row r="12">
      <c r="A12" s="5" t="inlineStr">
        <is>
          <t>XLOOKUP results</t>
        </is>
      </c>
    </row>
    <row r="13">
      <c r="A13" s="6" t="inlineStr">
        <is>
          <t>lookup key</t>
        </is>
      </c>
      <c r="B13" s="6" t="inlineStr">
        <is>
          <t>XLOOKUP for customer_name</t>
        </is>
      </c>
      <c r="C13" s="6" t="inlineStr">
        <is>
          <t>XLOOKUP with not-found arg</t>
        </is>
      </c>
    </row>
    <row r="14">
      <c r="A14" s="7" t="inlineStr">
        <is>
          <t>C-103</t>
        </is>
      </c>
      <c r="B14" s="8">
        <f>XLOOKUP("C-103",A6:A10,B6:B10)</f>
        <v/>
      </c>
      <c r="C14" s="8">
        <f>XLOOKUP("C-103",A6:A10,B6:B10,"(not found)")</f>
        <v/>
      </c>
    </row>
    <row r="15">
      <c r="A15" s="7" t="inlineStr">
        <is>
          <t>C-101</t>
        </is>
      </c>
      <c r="B15" s="8">
        <f>XLOOKUP("C-101",A6:A10,B6:B10)</f>
        <v/>
      </c>
      <c r="C15" s="8">
        <f>XLOOKUP("C-101",A6:A10,B6:B10,"(not found)")</f>
        <v/>
      </c>
    </row>
    <row r="16">
      <c r="A16" s="7" t="inlineStr">
        <is>
          <t>C-105</t>
        </is>
      </c>
      <c r="B16" s="8">
        <f>XLOOKUP("C-105",A6:A10,B6:B10)</f>
        <v/>
      </c>
      <c r="C16" s="8">
        <f>XLOOKUP("C-105",A6:A10,B6:B10,"(not found)")</f>
        <v/>
      </c>
    </row>
    <row r="17">
      <c r="A17" s="7" t="inlineStr">
        <is>
          <t>C-999</t>
        </is>
      </c>
      <c r="B17" s="8">
        <f>XLOOKUP("C-999",A6:A10,B6:B10)</f>
        <v/>
      </c>
      <c r="C17" s="8">
        <f>XLOOKUP("C-999",A6:A10,B6:B10,"(not found)")</f>
        <v/>
      </c>
    </row>
    <row r="18" ht="30" customHeight="1">
      <c r="A18" s="10" t="inlineStr">
        <is>
          <t>Notice: column 2 returns #N/A for C-999 (missing); column 3 catches that with the not-found argument.</t>
        </is>
      </c>
    </row>
  </sheetData>
  <mergeCells count="5">
    <mergeCell ref="A12:E12"/>
    <mergeCell ref="A5:C5"/>
    <mergeCell ref="A1:E1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2026-05-24T17:23:08Z</dcterms:created>
  <dcterms:modified xmlns:dcterms="http://purl.org/dc/terms/" xmlns:xsi="http://www.w3.org/2001/XMLSchema-instance" xsi:type="dcterms:W3CDTF">2026-05-24T17:23:08Z</dcterms:modified>
</cp:coreProperties>
</file>