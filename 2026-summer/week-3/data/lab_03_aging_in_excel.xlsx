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payments" sheetId="3" state="visible" r:id="rId3"/>
    <sheet xmlns:r="http://schemas.openxmlformats.org/officeDocument/2006/relationships" name="aging" sheetId="4" state="visible" r:id="rId4"/>
    <sheet xmlns:r="http://schemas.openxmlformats.org/officeDocument/2006/relationships" name="aging_explain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890000"/>
      <sz val="14"/>
    </font>
    <font>
      <name val="Calibri"/>
      <b val="1"/>
      <color rgb="00333333"/>
      <sz val="11"/>
    </font>
    <font>
      <name val="Consolas"/>
      <color rgb="00333333"/>
      <sz val="10"/>
    </font>
    <font>
      <name val="Calibri"/>
      <i val="1"/>
      <color rgb="00555555"/>
      <sz val="10"/>
    </font>
    <font>
      <b val="1"/>
      <color rgb="00FFFFFF"/>
    </font>
    <font>
      <b val="1"/>
      <color rgb="001C1C1C"/>
    </font>
  </fonts>
  <fills count="9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FFFAD1"/>
      </patternFill>
    </fill>
    <fill>
      <patternFill patternType="solid">
        <fgColor rgb="002ECC71"/>
      </patternFill>
    </fill>
    <fill>
      <patternFill patternType="solid">
        <fgColor rgb="00F1C40F"/>
      </patternFill>
    </fill>
    <fill>
      <patternFill patternType="solid">
        <fgColor rgb="00E67E22"/>
      </patternFill>
    </fill>
    <fill>
      <patternFill patternType="solid">
        <fgColor rgb="00E74C3C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left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1" fillId="3" borderId="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1" fontId="0" fillId="0" borderId="1" pivotButton="0" quotePrefix="0" xfId="0"/>
    <xf numFmtId="0" fontId="5" fillId="4" borderId="1" pivotButton="0" quotePrefix="0" xfId="0"/>
    <xf numFmtId="166" fontId="0" fillId="0" borderId="1" pivotButton="0" quotePrefix="0" xfId="0"/>
    <xf numFmtId="0" fontId="6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2" fillId="3" borderId="1" pivotButton="0" quotePrefix="0" xfId="0"/>
    <xf numFmtId="0" fontId="0" fillId="3" borderId="1" pivotButton="0" quotePrefix="0" xfId="0"/>
    <xf numFmtId="166" fontId="2" fillId="3" borderId="1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ECC71"/>
        </patternFill>
      </fill>
    </dxf>
    <dxf>
      <font>
        <b val="1"/>
        <color rgb="001C1C1C"/>
      </font>
      <fill>
        <patternFill patternType="solid">
          <fgColor rgb="00F1C40F"/>
        </patternFill>
      </fill>
    </dxf>
    <dxf>
      <font>
        <b val="1"/>
        <color rgb="00FFFFFF"/>
      </font>
      <fill>
        <patternFill patternType="solid">
          <fgColor rgb="00E67E22"/>
        </patternFill>
      </fill>
    </dxf>
    <dxf>
      <font>
        <b val="1"/>
        <color rgb="00FFFFFF"/>
      </font>
      <fill>
        <patternFill patternType="solid">
          <fgColor rgb="00E74C3C"/>
        </patternFill>
      </fill>
    </dxf>
    <dxf>
      <font>
        <b val="1"/>
        <color rgb="00FFFFFF"/>
      </font>
      <fill>
        <patternFill patternType="solid">
          <fgColor rgb="008E44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voices" displayName="tbl_invoices" ref="A1:G9" headerRowCount="1">
  <autoFilter ref="A1:G9"/>
  <tableColumns count="7">
    <tableColumn id="1" name="invoice_id"/>
    <tableColumn id="2" name="customer_id"/>
    <tableColumn id="3" name="customer_name"/>
    <tableColumn id="4" name="invoice_date"/>
    <tableColumn id="5" name="due_date"/>
    <tableColumn id="6" name="amount"/>
    <tableColumn id="7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payments" displayName="tbl_payments" ref="A1:D5" headerRowCount="1">
  <autoFilter ref="A1:D5"/>
  <tableColumns count="4">
    <tableColumn id="1" name="payment_id"/>
    <tableColumn id="2" name="invoice_id"/>
    <tableColumn id="3" name="payment_date"/>
    <tableColumn id="4" name="amou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2" customHeight="1">
      <c r="A1" s="1" t="inlineStr">
        <is>
          <t>Lab 3 — AR Aging by Hand in Excel</t>
        </is>
      </c>
    </row>
    <row r="3">
      <c r="A3" s="2" t="inlineStr">
        <is>
          <t>What is in this workbook</t>
        </is>
      </c>
    </row>
    <row r="5" ht="30" customHeight="1">
      <c r="A5" s="3" t="inlineStr">
        <is>
          <t>invoices</t>
        </is>
      </c>
      <c r="B5" s="4" t="inlineStr">
        <is>
          <t>Eight invoices for five customers. The data you will work against.</t>
        </is>
      </c>
    </row>
    <row r="6" ht="30" customHeight="1">
      <c r="A6" s="3" t="inlineStr">
        <is>
          <t>payments</t>
        </is>
      </c>
      <c r="B6" s="4" t="inlineStr">
        <is>
          <t>Four payments. Most invoices are paid; some are not; one invoice has two payments.</t>
        </is>
      </c>
    </row>
    <row r="7" ht="30" customHeight="1">
      <c r="A7" s="3" t="inlineStr">
        <is>
          <t>aging</t>
        </is>
      </c>
      <c r="B7" s="4" t="inlineStr">
        <is>
          <t>The exercise. Cutoff date lives in cell A1. EVERY formula on this sheet references $A$1. Change A1 and the entire report re-computes.</t>
        </is>
      </c>
    </row>
    <row r="8" ht="30" customHeight="1">
      <c r="A8" s="3" t="inlineStr">
        <is>
          <t>aging_explained</t>
        </is>
      </c>
      <c r="B8" s="4" t="inlineStr">
        <is>
          <t>The same calculations, with one formula per row spelled out in plain English alongside. Read this if a formula on the aging sheet is mysterious.</t>
        </is>
      </c>
    </row>
    <row r="10" ht="40" customHeight="1">
      <c r="A10" s="5" t="inlineStr">
        <is>
          <t>This workbook is the Excel counterpart to interactive/aging_builder.html in the lab. Build the aging report here once you have done the SQL version — same data, same answer, feel the difference in the workflow.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s="6" t="inlineStr">
        <is>
          <t>invoice_id</t>
        </is>
      </c>
      <c r="B1" s="6" t="inlineStr">
        <is>
          <t>customer_id</t>
        </is>
      </c>
      <c r="C1" s="6" t="inlineStr">
        <is>
          <t>customer_name</t>
        </is>
      </c>
      <c r="D1" s="6" t="inlineStr">
        <is>
          <t>invoice_date</t>
        </is>
      </c>
      <c r="E1" s="6" t="inlineStr">
        <is>
          <t>due_date</t>
        </is>
      </c>
      <c r="F1" s="6" t="inlineStr">
        <is>
          <t>amount</t>
        </is>
      </c>
      <c r="G1" s="6" t="inlineStr">
        <is>
          <t>status</t>
        </is>
      </c>
    </row>
    <row r="2">
      <c r="A2" s="7" t="inlineStr">
        <is>
          <t>INV-001</t>
        </is>
      </c>
      <c r="B2" s="7" t="inlineStr">
        <is>
          <t>C-101</t>
        </is>
      </c>
      <c r="C2" s="7" t="inlineStr">
        <is>
          <t>Park City Mountain Lodge</t>
        </is>
      </c>
      <c r="D2" s="8" t="inlineStr">
        <is>
          <t>2026-01-08</t>
        </is>
      </c>
      <c r="E2" s="8" t="inlineStr">
        <is>
          <t>2026-02-07</t>
        </is>
      </c>
      <c r="F2" s="9" t="n">
        <v>6200</v>
      </c>
      <c r="G2" s="7" t="inlineStr">
        <is>
          <t>Paid</t>
        </is>
      </c>
    </row>
    <row r="3">
      <c r="A3" s="7" t="inlineStr">
        <is>
          <t>INV-002</t>
        </is>
      </c>
      <c r="B3" s="7" t="inlineStr">
        <is>
          <t>C-102</t>
        </is>
      </c>
      <c r="C3" s="7" t="inlineStr">
        <is>
          <t>Wasatch Mountain Goods</t>
        </is>
      </c>
      <c r="D3" s="8" t="inlineStr">
        <is>
          <t>2026-01-22</t>
        </is>
      </c>
      <c r="E3" s="8" t="inlineStr">
        <is>
          <t>2026-02-21</t>
        </is>
      </c>
      <c r="F3" s="9" t="n">
        <v>4150</v>
      </c>
      <c r="G3" s="7" t="inlineStr">
        <is>
          <t>Paid</t>
        </is>
      </c>
    </row>
    <row r="4">
      <c r="A4" s="7" t="inlineStr">
        <is>
          <t>INV-003</t>
        </is>
      </c>
      <c r="B4" s="7" t="inlineStr">
        <is>
          <t>C-103</t>
        </is>
      </c>
      <c r="C4" s="7" t="inlineStr">
        <is>
          <t>Granite School District</t>
        </is>
      </c>
      <c r="D4" s="8" t="inlineStr">
        <is>
          <t>2026-02-04</t>
        </is>
      </c>
      <c r="E4" s="8" t="inlineStr">
        <is>
          <t>2026-03-06</t>
        </is>
      </c>
      <c r="F4" s="9" t="n">
        <v>8400</v>
      </c>
      <c r="G4" s="7" t="inlineStr">
        <is>
          <t>Open</t>
        </is>
      </c>
    </row>
    <row r="5">
      <c r="A5" s="7" t="inlineStr">
        <is>
          <t>INV-004</t>
        </is>
      </c>
      <c r="B5" s="7" t="inlineStr">
        <is>
          <t>C-101</t>
        </is>
      </c>
      <c r="C5" s="7" t="inlineStr">
        <is>
          <t>Park City Mountain Lodge</t>
        </is>
      </c>
      <c r="D5" s="8" t="inlineStr">
        <is>
          <t>2026-02-15</t>
        </is>
      </c>
      <c r="E5" s="8" t="inlineStr">
        <is>
          <t>2026-03-17</t>
        </is>
      </c>
      <c r="F5" s="9" t="n">
        <v>11000</v>
      </c>
      <c r="G5" s="7" t="inlineStr">
        <is>
          <t>Paid</t>
        </is>
      </c>
    </row>
    <row r="6">
      <c r="A6" s="7" t="inlineStr">
        <is>
          <t>INV-005</t>
        </is>
      </c>
      <c r="B6" s="7" t="inlineStr">
        <is>
          <t>C-104</t>
        </is>
      </c>
      <c r="C6" s="7" t="inlineStr">
        <is>
          <t>Snowbird Resort Ops</t>
        </is>
      </c>
      <c r="D6" s="8" t="inlineStr">
        <is>
          <t>2026-02-22</t>
        </is>
      </c>
      <c r="E6" s="8" t="inlineStr">
        <is>
          <t>2026-03-24</t>
        </is>
      </c>
      <c r="F6" s="9" t="n">
        <v>12500</v>
      </c>
      <c r="G6" s="7" t="inlineStr">
        <is>
          <t>Partial</t>
        </is>
      </c>
    </row>
    <row r="7">
      <c r="A7" s="7" t="inlineStr">
        <is>
          <t>INV-006</t>
        </is>
      </c>
      <c r="B7" s="7" t="inlineStr">
        <is>
          <t>C-103</t>
        </is>
      </c>
      <c r="C7" s="7" t="inlineStr">
        <is>
          <t>Granite School District</t>
        </is>
      </c>
      <c r="D7" s="8" t="inlineStr">
        <is>
          <t>2026-03-08</t>
        </is>
      </c>
      <c r="E7" s="8" t="inlineStr">
        <is>
          <t>2026-04-07</t>
        </is>
      </c>
      <c r="F7" s="9" t="n">
        <v>7800</v>
      </c>
      <c r="G7" s="7" t="inlineStr">
        <is>
          <t>Open</t>
        </is>
      </c>
    </row>
    <row r="8">
      <c r="A8" s="7" t="inlineStr">
        <is>
          <t>INV-007</t>
        </is>
      </c>
      <c r="B8" s="7" t="inlineStr">
        <is>
          <t>C-105</t>
        </is>
      </c>
      <c r="C8" s="7" t="inlineStr">
        <is>
          <t>Logan River Outfitters</t>
        </is>
      </c>
      <c r="D8" s="8" t="inlineStr">
        <is>
          <t>2026-03-25</t>
        </is>
      </c>
      <c r="E8" s="8" t="inlineStr">
        <is>
          <t>2026-04-24</t>
        </is>
      </c>
      <c r="F8" s="9" t="n">
        <v>2400</v>
      </c>
      <c r="G8" s="7" t="inlineStr">
        <is>
          <t>Void</t>
        </is>
      </c>
    </row>
    <row r="9">
      <c r="A9" s="7" t="inlineStr">
        <is>
          <t>INV-008</t>
        </is>
      </c>
      <c r="B9" s="7" t="inlineStr">
        <is>
          <t>C-104</t>
        </is>
      </c>
      <c r="C9" s="7" t="inlineStr">
        <is>
          <t>Snowbird Resort Ops</t>
        </is>
      </c>
      <c r="D9" s="8" t="inlineStr">
        <is>
          <t>2026-04-02</t>
        </is>
      </c>
      <c r="E9" s="8" t="inlineStr">
        <is>
          <t>2026-05-02</t>
        </is>
      </c>
      <c r="F9" s="9" t="n">
        <v>14600</v>
      </c>
      <c r="G9" s="7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</cols>
  <sheetData>
    <row r="1">
      <c r="A1" s="6" t="inlineStr">
        <is>
          <t>payment_id</t>
        </is>
      </c>
      <c r="B1" s="6" t="inlineStr">
        <is>
          <t>invoice_id</t>
        </is>
      </c>
      <c r="C1" s="6" t="inlineStr">
        <is>
          <t>payment_date</t>
        </is>
      </c>
      <c r="D1" s="6" t="inlineStr">
        <is>
          <t>amount</t>
        </is>
      </c>
    </row>
    <row r="2">
      <c r="A2" s="7" t="inlineStr">
        <is>
          <t>PAY-1</t>
        </is>
      </c>
      <c r="B2" s="7" t="inlineStr">
        <is>
          <t>INV-001</t>
        </is>
      </c>
      <c r="C2" s="8" t="inlineStr">
        <is>
          <t>2026-02-01</t>
        </is>
      </c>
      <c r="D2" s="9" t="n">
        <v>6200</v>
      </c>
    </row>
    <row r="3">
      <c r="A3" s="7" t="inlineStr">
        <is>
          <t>PAY-2</t>
        </is>
      </c>
      <c r="B3" s="7" t="inlineStr">
        <is>
          <t>INV-002</t>
        </is>
      </c>
      <c r="C3" s="8" t="inlineStr">
        <is>
          <t>2026-02-20</t>
        </is>
      </c>
      <c r="D3" s="9" t="n">
        <v>4150</v>
      </c>
    </row>
    <row r="4">
      <c r="A4" s="7" t="inlineStr">
        <is>
          <t>PAY-3</t>
        </is>
      </c>
      <c r="B4" s="7" t="inlineStr">
        <is>
          <t>INV-004</t>
        </is>
      </c>
      <c r="C4" s="8" t="inlineStr">
        <is>
          <t>2026-03-18</t>
        </is>
      </c>
      <c r="D4" s="9" t="n">
        <v>11000</v>
      </c>
    </row>
    <row r="5">
      <c r="A5" s="7" t="inlineStr">
        <is>
          <t>PAY-4</t>
        </is>
      </c>
      <c r="B5" s="7" t="inlineStr">
        <is>
          <t>INV-005</t>
        </is>
      </c>
      <c r="C5" s="8" t="inlineStr">
        <is>
          <t>2026-03-22</t>
        </is>
      </c>
      <c r="D5" s="9" t="n">
        <v>6000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13" customWidth="1" min="4" max="4"/>
    <col width="17" customWidth="1" min="5" max="5"/>
    <col width="20" customWidth="1" min="6" max="6"/>
    <col width="11" customWidth="1" min="7" max="7"/>
    <col width="16" customWidth="1" min="8" max="8"/>
    <col width="15" customWidth="1" min="9" max="9"/>
  </cols>
  <sheetData>
    <row r="1">
      <c r="A1" s="10" t="inlineStr">
        <is>
          <t>2026-04-30</t>
        </is>
      </c>
      <c r="B1" s="11" t="inlineStr">
        <is>
          <t>&lt;- CUTOFF DATE — change this and the entire sheet recomputes.</t>
        </is>
      </c>
    </row>
    <row r="2"/>
    <row r="3">
      <c r="A3" s="6" t="inlineStr">
        <is>
          <t>invoice_id</t>
        </is>
      </c>
      <c r="B3" s="6" t="inlineStr">
        <is>
          <t>customer_id</t>
        </is>
      </c>
      <c r="C3" s="6" t="inlineStr">
        <is>
          <t>customer_name</t>
        </is>
      </c>
      <c r="D3" s="6" t="inlineStr">
        <is>
          <t>due_date</t>
        </is>
      </c>
      <c r="E3" s="6" t="inlineStr">
        <is>
          <t>invoice_amount</t>
        </is>
      </c>
      <c r="F3" s="6" t="inlineStr">
        <is>
          <t>paid_as_of_cutoff</t>
        </is>
      </c>
      <c r="G3" s="6" t="inlineStr">
        <is>
          <t>balance</t>
        </is>
      </c>
      <c r="H3" s="6" t="inlineStr">
        <is>
          <t>days_past_due</t>
        </is>
      </c>
      <c r="I3" s="6" t="inlineStr">
        <is>
          <t>aging_bucket</t>
        </is>
      </c>
    </row>
    <row r="4">
      <c r="A4" s="7">
        <f>invoices!A2</f>
        <v/>
      </c>
      <c r="B4" s="7">
        <f>invoices!B2</f>
        <v/>
      </c>
      <c r="C4" s="7">
        <f>invoices!C2</f>
        <v/>
      </c>
      <c r="D4" s="8">
        <f>invoices!E2</f>
        <v/>
      </c>
      <c r="E4" s="9">
        <f>invoices!F2</f>
        <v/>
      </c>
      <c r="F4" s="9">
        <f>SUMIFS(tbl_payments[amount], tbl_payments[invoice_id], A4, tbl_payments[payment_date], "&lt;="&amp;$A$1)</f>
        <v/>
      </c>
      <c r="G4" s="9">
        <f>E4-F4</f>
        <v/>
      </c>
      <c r="H4" s="12">
        <f>$A$1-D4</f>
        <v/>
      </c>
      <c r="I4" s="7">
        <f>IFS(H4&lt;=0,"Current",H4&lt;=30,"1-30",H4&lt;=60,"31-60",H4&lt;=90,"61-90",TRUE,"Over 90")</f>
        <v/>
      </c>
    </row>
    <row r="5">
      <c r="A5" s="7">
        <f>invoices!A3</f>
        <v/>
      </c>
      <c r="B5" s="7">
        <f>invoices!B3</f>
        <v/>
      </c>
      <c r="C5" s="7">
        <f>invoices!C3</f>
        <v/>
      </c>
      <c r="D5" s="8">
        <f>invoices!E3</f>
        <v/>
      </c>
      <c r="E5" s="9">
        <f>invoices!F3</f>
        <v/>
      </c>
      <c r="F5" s="9">
        <f>SUMIFS(tbl_payments[amount], tbl_payments[invoice_id], A5, tbl_payments[payment_date], "&lt;="&amp;$A$1)</f>
        <v/>
      </c>
      <c r="G5" s="9">
        <f>E5-F5</f>
        <v/>
      </c>
      <c r="H5" s="12">
        <f>$A$1-D5</f>
        <v/>
      </c>
      <c r="I5" s="7">
        <f>IFS(H5&lt;=0,"Current",H5&lt;=30,"1-30",H5&lt;=60,"31-60",H5&lt;=90,"61-90",TRUE,"Over 90")</f>
        <v/>
      </c>
    </row>
    <row r="6">
      <c r="A6" s="7">
        <f>invoices!A4</f>
        <v/>
      </c>
      <c r="B6" s="7">
        <f>invoices!B4</f>
        <v/>
      </c>
      <c r="C6" s="7">
        <f>invoices!C4</f>
        <v/>
      </c>
      <c r="D6" s="8">
        <f>invoices!E4</f>
        <v/>
      </c>
      <c r="E6" s="9">
        <f>invoices!F4</f>
        <v/>
      </c>
      <c r="F6" s="9">
        <f>SUMIFS(tbl_payments[amount], tbl_payments[invoice_id], A6, tbl_payments[payment_date], "&lt;="&amp;$A$1)</f>
        <v/>
      </c>
      <c r="G6" s="9">
        <f>E6-F6</f>
        <v/>
      </c>
      <c r="H6" s="12">
        <f>$A$1-D6</f>
        <v/>
      </c>
      <c r="I6" s="7">
        <f>IFS(H6&lt;=0,"Current",H6&lt;=30,"1-30",H6&lt;=60,"31-60",H6&lt;=90,"61-90",TRUE,"Over 90")</f>
        <v/>
      </c>
    </row>
    <row r="7">
      <c r="A7" s="7">
        <f>invoices!A5</f>
        <v/>
      </c>
      <c r="B7" s="7">
        <f>invoices!B5</f>
        <v/>
      </c>
      <c r="C7" s="7">
        <f>invoices!C5</f>
        <v/>
      </c>
      <c r="D7" s="8">
        <f>invoices!E5</f>
        <v/>
      </c>
      <c r="E7" s="9">
        <f>invoices!F5</f>
        <v/>
      </c>
      <c r="F7" s="9">
        <f>SUMIFS(tbl_payments[amount], tbl_payments[invoice_id], A7, tbl_payments[payment_date], "&lt;="&amp;$A$1)</f>
        <v/>
      </c>
      <c r="G7" s="9">
        <f>E7-F7</f>
        <v/>
      </c>
      <c r="H7" s="12">
        <f>$A$1-D7</f>
        <v/>
      </c>
      <c r="I7" s="7">
        <f>IFS(H7&lt;=0,"Current",H7&lt;=30,"1-30",H7&lt;=60,"31-60",H7&lt;=90,"61-90",TRUE,"Over 90")</f>
        <v/>
      </c>
    </row>
    <row r="8">
      <c r="A8" s="7">
        <f>invoices!A6</f>
        <v/>
      </c>
      <c r="B8" s="7">
        <f>invoices!B6</f>
        <v/>
      </c>
      <c r="C8" s="7">
        <f>invoices!C6</f>
        <v/>
      </c>
      <c r="D8" s="8">
        <f>invoices!E6</f>
        <v/>
      </c>
      <c r="E8" s="9">
        <f>invoices!F6</f>
        <v/>
      </c>
      <c r="F8" s="9">
        <f>SUMIFS(tbl_payments[amount], tbl_payments[invoice_id], A8, tbl_payments[payment_date], "&lt;="&amp;$A$1)</f>
        <v/>
      </c>
      <c r="G8" s="9">
        <f>E8-F8</f>
        <v/>
      </c>
      <c r="H8" s="12">
        <f>$A$1-D8</f>
        <v/>
      </c>
      <c r="I8" s="7">
        <f>IFS(H8&lt;=0,"Current",H8&lt;=30,"1-30",H8&lt;=60,"31-60",H8&lt;=90,"61-90",TRUE,"Over 90")</f>
        <v/>
      </c>
    </row>
    <row r="9">
      <c r="A9" s="7">
        <f>invoices!A7</f>
        <v/>
      </c>
      <c r="B9" s="7">
        <f>invoices!B7</f>
        <v/>
      </c>
      <c r="C9" s="7">
        <f>invoices!C7</f>
        <v/>
      </c>
      <c r="D9" s="8">
        <f>invoices!E7</f>
        <v/>
      </c>
      <c r="E9" s="9">
        <f>invoices!F7</f>
        <v/>
      </c>
      <c r="F9" s="9">
        <f>SUMIFS(tbl_payments[amount], tbl_payments[invoice_id], A9, tbl_payments[payment_date], "&lt;="&amp;$A$1)</f>
        <v/>
      </c>
      <c r="G9" s="9">
        <f>E9-F9</f>
        <v/>
      </c>
      <c r="H9" s="12">
        <f>$A$1-D9</f>
        <v/>
      </c>
      <c r="I9" s="7">
        <f>IFS(H9&lt;=0,"Current",H9&lt;=30,"1-30",H9&lt;=60,"31-60",H9&lt;=90,"61-90",TRUE,"Over 90")</f>
        <v/>
      </c>
    </row>
    <row r="10">
      <c r="A10" s="7">
        <f>invoices!A8</f>
        <v/>
      </c>
      <c r="B10" s="7">
        <f>invoices!B8</f>
        <v/>
      </c>
      <c r="C10" s="7">
        <f>invoices!C8</f>
        <v/>
      </c>
      <c r="D10" s="8">
        <f>invoices!E8</f>
        <v/>
      </c>
      <c r="E10" s="9">
        <f>invoices!F8</f>
        <v/>
      </c>
      <c r="F10" s="9">
        <f>SUMIFS(tbl_payments[amount], tbl_payments[invoice_id], A10, tbl_payments[payment_date], "&lt;="&amp;$A$1)</f>
        <v/>
      </c>
      <c r="G10" s="9">
        <f>E10-F10</f>
        <v/>
      </c>
      <c r="H10" s="12">
        <f>$A$1-D10</f>
        <v/>
      </c>
      <c r="I10" s="7">
        <f>IFS(H10&lt;=0,"Current",H10&lt;=30,"1-30",H10&lt;=60,"31-60",H10&lt;=90,"61-90",TRUE,"Over 90")</f>
        <v/>
      </c>
    </row>
    <row r="11">
      <c r="A11" s="7">
        <f>invoices!A9</f>
        <v/>
      </c>
      <c r="B11" s="7">
        <f>invoices!B9</f>
        <v/>
      </c>
      <c r="C11" s="7">
        <f>invoices!C9</f>
        <v/>
      </c>
      <c r="D11" s="8">
        <f>invoices!E9</f>
        <v/>
      </c>
      <c r="E11" s="9">
        <f>invoices!F9</f>
        <v/>
      </c>
      <c r="F11" s="9">
        <f>SUMIFS(tbl_payments[amount], tbl_payments[invoice_id], A11, tbl_payments[payment_date], "&lt;="&amp;$A$1)</f>
        <v/>
      </c>
      <c r="G11" s="9">
        <f>E11-F11</f>
        <v/>
      </c>
      <c r="H11" s="12">
        <f>$A$1-D11</f>
        <v/>
      </c>
      <c r="I11" s="7">
        <f>IFS(H11&lt;=0,"Current",H11&lt;=30,"1-30",H11&lt;=60,"31-60",H11&lt;=90,"61-90",TRUE,"Over 90")</f>
        <v/>
      </c>
    </row>
    <row r="12"/>
    <row r="13">
      <c r="A13" s="2" t="inlineStr">
        <is>
          <t>AR aging summary</t>
        </is>
      </c>
    </row>
    <row r="14">
      <c r="A14" s="13" t="inlineStr">
        <is>
          <t>Current</t>
        </is>
      </c>
      <c r="B14" s="12">
        <f>COUNTIFS($I$4:$I$11,"Current",$G$4:$G$11,"&gt;0")</f>
        <v/>
      </c>
      <c r="C14" s="14">
        <f>SUMIFS($G$4:$G$11,$I$4:$I$11,"Current",$G$4:$G$11,"&gt;0")</f>
        <v/>
      </c>
    </row>
    <row r="15">
      <c r="A15" s="15" t="inlineStr">
        <is>
          <t>1-30</t>
        </is>
      </c>
      <c r="B15" s="12">
        <f>COUNTIFS($I$4:$I$11,"1-30",$G$4:$G$11,"&gt;0")</f>
        <v/>
      </c>
      <c r="C15" s="14">
        <f>SUMIFS($G$4:$G$11,$I$4:$I$11,"1-30",$G$4:$G$11,"&gt;0")</f>
        <v/>
      </c>
    </row>
    <row r="16">
      <c r="A16" s="16" t="inlineStr">
        <is>
          <t>31-60</t>
        </is>
      </c>
      <c r="B16" s="12">
        <f>COUNTIFS($I$4:$I$11,"31-60",$G$4:$G$11,"&gt;0")</f>
        <v/>
      </c>
      <c r="C16" s="14">
        <f>SUMIFS($G$4:$G$11,$I$4:$I$11,"31-60",$G$4:$G$11,"&gt;0")</f>
        <v/>
      </c>
    </row>
    <row r="17">
      <c r="A17" s="17" t="inlineStr">
        <is>
          <t>61-90</t>
        </is>
      </c>
      <c r="B17" s="12">
        <f>COUNTIFS($I$4:$I$11,"61-90",$G$4:$G$11,"&gt;0")</f>
        <v/>
      </c>
      <c r="C17" s="14">
        <f>SUMIFS($G$4:$G$11,$I$4:$I$11,"61-90",$G$4:$G$11,"&gt;0")</f>
        <v/>
      </c>
    </row>
    <row r="18">
      <c r="A18" s="18" t="inlineStr">
        <is>
          <t>Over 90</t>
        </is>
      </c>
      <c r="B18" s="12">
        <f>COUNTIFS($I$4:$I$11,"Over 90",$G$4:$G$11,"&gt;0")</f>
        <v/>
      </c>
      <c r="C18" s="14">
        <f>SUMIFS($G$4:$G$11,$I$4:$I$11,"Over 90",$G$4:$G$11,"&gt;0")</f>
        <v/>
      </c>
    </row>
    <row r="19">
      <c r="A19" s="19" t="inlineStr">
        <is>
          <t>Total open AR</t>
        </is>
      </c>
      <c r="B19" s="20" t="n"/>
      <c r="C19" s="21">
        <f>SUMIFS($G$4:$G$11,$G$4:$G$11,"&gt;0")</f>
        <v/>
      </c>
    </row>
    <row r="20"/>
    <row r="21" ht="35" customHeight="1">
      <c r="A21" s="5" t="inlineStr">
        <is>
          <t>HINTS: try changing A1 to 2026-03-31 — watch the report move. The Excel formulas above are equivalent to the SQL in aging_builder.html.</t>
        </is>
      </c>
    </row>
  </sheetData>
  <mergeCells count="3">
    <mergeCell ref="B1:I1"/>
    <mergeCell ref="A13:D13"/>
    <mergeCell ref="A21:I21"/>
  </mergeCells>
  <conditionalFormatting sqref="I4:I11">
    <cfRule type="expression" priority="1" dxfId="0">
      <formula>$I4="Current"</formula>
    </cfRule>
    <cfRule type="expression" priority="2" dxfId="1">
      <formula>$I4="1-30"</formula>
    </cfRule>
    <cfRule type="expression" priority="3" dxfId="2">
      <formula>$I4="31-60"</formula>
    </cfRule>
    <cfRule type="expression" priority="4" dxfId="3">
      <formula>$I4="61-90"</formula>
    </cfRule>
    <cfRule type="expression" priority="5" dxfId="4">
      <formula>$I4="Over 90"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70" customWidth="1" min="3" max="3"/>
  </cols>
  <sheetData>
    <row r="1" ht="22" customHeight="1">
      <c r="A1" s="22" t="inlineStr">
        <is>
          <t>Plain-English walkthrough of the aging-sheet formulas</t>
        </is>
      </c>
    </row>
    <row r="3">
      <c r="A3" s="23" t="inlineStr">
        <is>
          <t>Formula label</t>
        </is>
      </c>
      <c r="B3" s="23" t="inlineStr">
        <is>
          <t>Excel formula</t>
        </is>
      </c>
      <c r="C3" s="23" t="inlineStr">
        <is>
          <t>In plain English</t>
        </is>
      </c>
    </row>
    <row r="4" ht="50" customHeight="1">
      <c r="A4" s="24" t="inlineStr">
        <is>
          <t>paid_as_of_cutoff</t>
        </is>
      </c>
      <c r="B4" s="25">
        <f>SUMIFS(tbl_payments[amount], tbl_payments[invoice_id], A{row}, tbl_payments[payment_date], "&lt;="&amp;$A$1)</f>
        <v/>
      </c>
      <c r="C4" s="26" t="inlineStr">
        <is>
          <t>For this invoice, add up all payments where payment_date is on or before the cutoff in A1. The SUMIFS function takes (sum range, criteria range 1, criteria 1, criteria range 2, criteria 2).</t>
        </is>
      </c>
    </row>
    <row r="5" ht="50" customHeight="1">
      <c r="A5" s="24" t="inlineStr">
        <is>
          <t>balance</t>
        </is>
      </c>
      <c r="B5" s="25">
        <f>E{row}-F{row}</f>
        <v/>
      </c>
      <c r="C5" s="26" t="inlineStr">
        <is>
          <t>Invoice amount minus what has been paid as of the cutoff.</t>
        </is>
      </c>
    </row>
    <row r="6" ht="50" customHeight="1">
      <c r="A6" s="24" t="inlineStr">
        <is>
          <t>days_past_due</t>
        </is>
      </c>
      <c r="B6" s="25">
        <f>$A$1-D{row}</f>
        <v/>
      </c>
      <c r="C6" s="26" t="inlineStr">
        <is>
          <t>Cutoff date minus due date. Negative means not yet due. Excel returns whole days.</t>
        </is>
      </c>
    </row>
    <row r="7" ht="50" customHeight="1">
      <c r="A7" s="24" t="inlineStr">
        <is>
          <t>aging_bucket</t>
        </is>
      </c>
      <c r="B7" s="25">
        <f>IFS(H{row}&lt;=0,"Current",H{row}&lt;=30,"1-30",H{row}&lt;=60,"31-60",H{row}&lt;=90,"61-90",TRUE,"Over 90")</f>
        <v/>
      </c>
      <c r="C7" s="26" t="inlineStr">
        <is>
          <t>Walk the conditions top to bottom; the first that is true wins. Same logic as SQL's CASE WHEN.</t>
        </is>
      </c>
    </row>
    <row r="8" ht="50" customHeight="1">
      <c r="A8" s="24" t="inlineStr">
        <is>
          <t>Count by bucket (summary panel)</t>
        </is>
      </c>
      <c r="B8" s="25">
        <f>COUNTIFS(aging_bucket_range,"&lt;bucket&gt;",balance_range,"&gt;0")</f>
        <v/>
      </c>
      <c r="C8" s="26" t="inlineStr">
        <is>
          <t>Count invoices in this bucket that also have a balance &gt; 0. Drops fully-paid invoices.</t>
        </is>
      </c>
    </row>
    <row r="9" ht="50" customHeight="1">
      <c r="A9" s="24" t="inlineStr">
        <is>
          <t>Dollars by bucket (summary panel)</t>
        </is>
      </c>
      <c r="B9" s="25">
        <f>SUMIFS(balance_range,aging_bucket_range,"&lt;bucket&gt;",balance_range,"&gt;0")</f>
        <v/>
      </c>
      <c r="C9" s="26" t="inlineStr">
        <is>
          <t>Sum the balance of invoices in this bucket with balance &gt; 0.</t>
        </is>
      </c>
    </row>
    <row r="10" ht="50" customHeight="1">
      <c r="A10" s="24" t="inlineStr">
        <is>
          <t>Cutoff cell</t>
        </is>
      </c>
      <c r="B10" s="25" t="inlineStr">
        <is>
          <t>$A$1</t>
        </is>
      </c>
      <c r="C10" s="26" t="inlineStr">
        <is>
          <t>Every formula above references $A$1 — that is the lock symbol that says 'always look at A1, even when the formula is dragged.' Change A1, the whole sheet recomputes.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2026-05-24T17:23:08Z</dcterms:created>
  <dcterms:modified xmlns:dcterms="http://purl.org/dc/terms/" xmlns:xsi="http://www.w3.org/2001/XMLSchema-instance" xsi:type="dcterms:W3CDTF">2026-05-24T17:23:08Z</dcterms:modified>
</cp:coreProperties>
</file>